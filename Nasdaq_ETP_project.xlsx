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defaultThemeVersion="202300"/>
  <mc:AlternateContent xmlns:mc="http://schemas.openxmlformats.org/markup-compatibility/2006">
    <mc:Choice Requires="x15">
      <x15ac:absPath xmlns:x15ac="http://schemas.microsoft.com/office/spreadsheetml/2010/11/ac" url="/Volumes/1TB/Projects/Nasdaq_ETP_Project/"/>
    </mc:Choice>
  </mc:AlternateContent>
  <xr:revisionPtr revIDLastSave="0" documentId="8_{DB8A5509-1FD6-554C-AF67-FCA37116C659}" xr6:coauthVersionLast="47" xr6:coauthVersionMax="47" xr10:uidLastSave="{00000000-0000-0000-0000-000000000000}"/>
  <bookViews>
    <workbookView xWindow="0" yWindow="760" windowWidth="29400" windowHeight="17260" activeTab="5" xr2:uid="{17552DE9-0E2F-544A-8CBD-2F02FC7F831F}"/>
  </bookViews>
  <sheets>
    <sheet name="raw_etp_data" sheetId="1" state="hidden" r:id="rId1"/>
    <sheet name="data_audit" sheetId="2" state="hidden" r:id="rId2"/>
    <sheet name="clean_etp_data" sheetId="3" state="hidden" r:id="rId3"/>
    <sheet name="Issue_Distribution_By_Region" sheetId="4" state="hidden" r:id="rId4"/>
    <sheet name="AUM_By_Status" sheetId="5" state="hidden" r:id="rId5"/>
    <sheet name="ETP_Dashboard" sheetId="6" r:id="rId6"/>
  </sheets>
  <externalReferences>
    <externalReference r:id="rId7"/>
  </externalReferences>
  <definedNames>
    <definedName name="Slicer_Data_Issue">#N/A</definedName>
    <definedName name="Slicer_Region">#N/A</definedName>
    <definedName name="Slicer_Status">#N/A</definedName>
  </definedNames>
  <calcPr calcId="181029"/>
  <pivotCaches>
    <pivotCache cacheId="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6" l="1"/>
  <c r="M14" i="6"/>
  <c r="M15" i="6"/>
  <c r="M11" i="6"/>
  <c r="M12" i="6"/>
  <c r="B10" i="2"/>
  <c r="B9" i="2"/>
  <c r="B8" i="2"/>
  <c r="L8" i="3"/>
  <c r="L10" i="3"/>
  <c r="K3" i="3"/>
  <c r="L3" i="3" s="1"/>
  <c r="K4" i="3"/>
  <c r="L4" i="3" s="1"/>
  <c r="K5" i="3"/>
  <c r="L5" i="3" s="1"/>
  <c r="K6" i="3"/>
  <c r="L6" i="3" s="1"/>
  <c r="K7" i="3"/>
  <c r="L7" i="3" s="1"/>
  <c r="K8" i="3"/>
  <c r="K9" i="3"/>
  <c r="L9" i="3" s="1"/>
  <c r="K10" i="3"/>
  <c r="K11" i="3"/>
  <c r="L11" i="3" s="1"/>
  <c r="K2" i="3"/>
  <c r="J3" i="3"/>
  <c r="J4" i="3"/>
  <c r="J5" i="3"/>
  <c r="J6" i="3"/>
  <c r="J7" i="3"/>
  <c r="J8" i="3"/>
  <c r="J9" i="3"/>
  <c r="J10" i="3"/>
  <c r="J11" i="3"/>
  <c r="J2" i="3"/>
  <c r="I2" i="3"/>
  <c r="I3" i="3"/>
  <c r="I4" i="3"/>
  <c r="I5" i="3"/>
  <c r="I6" i="3"/>
  <c r="I7" i="3"/>
  <c r="I8" i="3"/>
  <c r="I9" i="3"/>
  <c r="I10" i="3"/>
  <c r="I11" i="3"/>
  <c r="B6" i="2"/>
  <c r="B5" i="2"/>
  <c r="B4" i="2"/>
  <c r="B3" i="2"/>
  <c r="B2" i="2"/>
  <c r="L2" i="3" l="1"/>
</calcChain>
</file>

<file path=xl/sharedStrings.xml><?xml version="1.0" encoding="utf-8"?>
<sst xmlns="http://schemas.openxmlformats.org/spreadsheetml/2006/main" count="150" uniqueCount="59">
  <si>
    <t>Product_ID</t>
  </si>
  <si>
    <t>Ticker</t>
  </si>
  <si>
    <t>Issuer</t>
  </si>
  <si>
    <t>Launch_Date</t>
  </si>
  <si>
    <t>NAV</t>
  </si>
  <si>
    <t>AUM</t>
  </si>
  <si>
    <t>Region</t>
  </si>
  <si>
    <t>Status</t>
  </si>
  <si>
    <t>QETP</t>
  </si>
  <si>
    <t>BETP</t>
  </si>
  <si>
    <t>CETP</t>
  </si>
  <si>
    <t>DETP</t>
  </si>
  <si>
    <t>AETP</t>
  </si>
  <si>
    <t>FETP</t>
  </si>
  <si>
    <t>RETP</t>
  </si>
  <si>
    <t>METP</t>
  </si>
  <si>
    <t>TETP</t>
  </si>
  <si>
    <t>SETP</t>
  </si>
  <si>
    <t>Alpha Funds</t>
  </si>
  <si>
    <t>Beta Capital</t>
  </si>
  <si>
    <t>Gamma Invest</t>
  </si>
  <si>
    <t>Delta Group</t>
  </si>
  <si>
    <t xml:space="preserve"> Omega Corp</t>
  </si>
  <si>
    <t>Zeta Trust</t>
  </si>
  <si>
    <t>Mu Holdings</t>
  </si>
  <si>
    <t>Sigma LLC</t>
  </si>
  <si>
    <t>Theta Mgmt</t>
  </si>
  <si>
    <t>US</t>
  </si>
  <si>
    <t>EU</t>
  </si>
  <si>
    <t>APAC</t>
  </si>
  <si>
    <t>Active</t>
  </si>
  <si>
    <t>Pending</t>
  </si>
  <si>
    <t>Metric</t>
  </si>
  <si>
    <t>Total Records</t>
  </si>
  <si>
    <t>Value</t>
  </si>
  <si>
    <t>Missing AUM</t>
  </si>
  <si>
    <t>Missing NAV</t>
  </si>
  <si>
    <t>Duplicate Product_IDs</t>
  </si>
  <si>
    <t>Negative AUM</t>
  </si>
  <si>
    <t>Clean_Launch_Date</t>
  </si>
  <si>
    <t>NAV_Clean</t>
  </si>
  <si>
    <t>AUM_Clean</t>
  </si>
  <si>
    <t>Data_Issue</t>
  </si>
  <si>
    <t>Total Clean Records</t>
  </si>
  <si>
    <t>After Cleanup</t>
  </si>
  <si>
    <t>OK Records</t>
  </si>
  <si>
    <t>Flagged Records</t>
  </si>
  <si>
    <t>Row Labels</t>
  </si>
  <si>
    <t>Grand Total</t>
  </si>
  <si>
    <t>MISSING AUM</t>
  </si>
  <si>
    <t>MISSING NAV</t>
  </si>
  <si>
    <t>OK</t>
  </si>
  <si>
    <t>Column Labels</t>
  </si>
  <si>
    <t>Count of Product_ID</t>
  </si>
  <si>
    <t>Sum of AUM_Clean</t>
  </si>
  <si>
    <t>ETP Data Quality Issues by Region</t>
  </si>
  <si>
    <t>Total Assets Under Management by Product Status</t>
  </si>
  <si>
    <t>Nasdaq ETP Data Quality &amp; AUM Monitoring Dashboard</t>
  </si>
  <si>
    <t>Total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</si>
</sst>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ptos Narrow"/>
      <family val="2"/>
      <scheme val="minor"/>
    </font>
    <font>
      <b/>
      <sz val="12"/>
      <color rgb="FFFA7D00"/>
      <name val="Aptos Narrow"/>
      <family val="2"/>
      <scheme val="minor"/>
    </font>
    <font>
      <b/>
      <sz val="12"/>
      <color theme="0"/>
      <name val="Aptos Narrow"/>
      <family val="2"/>
      <scheme val="minor"/>
    </font>
    <font>
      <sz val="8"/>
      <name val="Aptos Narrow"/>
      <family val="2"/>
      <scheme val="minor"/>
    </font>
    <font>
      <b/>
      <sz val="14"/>
      <color theme="1"/>
      <name val="Aptos Narrow (Body)"/>
    </font>
    <font>
      <b/>
      <sz val="18"/>
      <color theme="0"/>
      <name val="Aptos Narrow (Body)"/>
    </font>
    <font>
      <sz val="18"/>
      <color theme="1"/>
      <name val="Aptos Narrow"/>
      <family val="2"/>
      <scheme val="minor"/>
    </font>
    <font>
      <b/>
      <sz val="12"/>
      <color theme="6"/>
      <name val="Aptos Narrow"/>
      <family val="2"/>
      <scheme val="minor"/>
    </font>
    <font>
      <b/>
      <sz val="12"/>
      <color rgb="FFFF0000"/>
      <name val="Aptos Narrow"/>
      <family val="2"/>
      <scheme val="minor"/>
    </font>
    <font>
      <b/>
      <sz val="12"/>
      <color theme="3"/>
      <name val="Aptos Narrow"/>
      <family val="2"/>
      <scheme val="minor"/>
    </font>
    <font>
      <b/>
      <sz val="12"/>
      <color theme="9" tint="-0.499984740745262"/>
      <name val="Aptos Narrow"/>
      <family val="2"/>
      <scheme val="minor"/>
    </font>
    <font>
      <b/>
      <sz val="20"/>
      <color theme="6"/>
      <name val="Aptos Narrow"/>
      <family val="2"/>
      <scheme val="minor"/>
    </font>
  </fonts>
  <fills count="6">
    <fill>
      <patternFill patternType="none"/>
    </fill>
    <fill>
      <patternFill patternType="gray125"/>
    </fill>
    <fill>
      <patternFill patternType="solid">
        <fgColor rgb="FFF2F2F2"/>
      </patternFill>
    </fill>
    <fill>
      <patternFill patternType="solid">
        <fgColor theme="4"/>
        <bgColor theme="4"/>
      </patternFill>
    </fill>
    <fill>
      <patternFill patternType="solid">
        <fgColor theme="4" tint="0.79998168889431442"/>
        <bgColor theme="4" tint="0.79998168889431442"/>
      </patternFill>
    </fill>
    <fill>
      <patternFill patternType="solid">
        <fgColor theme="3"/>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2" borderId="1" applyNumberFormat="0" applyAlignment="0" applyProtection="0"/>
  </cellStyleXfs>
  <cellXfs count="18">
    <xf numFmtId="0" fontId="0" fillId="0" borderId="0" xfId="0"/>
    <xf numFmtId="14" fontId="0" fillId="0" borderId="0" xfId="0" applyNumberFormat="1"/>
    <xf numFmtId="0" fontId="0" fillId="0" borderId="0" xfId="0" applyNumberFormat="1"/>
    <xf numFmtId="0" fontId="0" fillId="4" borderId="2" xfId="0" applyFont="1" applyFill="1" applyBorder="1"/>
    <xf numFmtId="0" fontId="0" fillId="0" borderId="2" xfId="0" applyFont="1" applyBorder="1"/>
    <xf numFmtId="0" fontId="2" fillId="3" borderId="0" xfId="0" applyFont="1" applyFill="1" applyBorder="1"/>
    <xf numFmtId="0" fontId="0" fillId="4" borderId="0" xfId="0" applyFont="1" applyFill="1" applyBorder="1"/>
    <xf numFmtId="0" fontId="0" fillId="0" borderId="0" xfId="0" pivotButton="1"/>
    <xf numFmtId="0" fontId="0" fillId="0" borderId="0" xfId="0" applyAlignment="1">
      <alignment horizontal="left"/>
    </xf>
    <xf numFmtId="0" fontId="4" fillId="0" borderId="0" xfId="0" applyFont="1"/>
    <xf numFmtId="0" fontId="6" fillId="0" borderId="0" xfId="0" applyFont="1" applyAlignment="1">
      <alignment vertical="center"/>
    </xf>
    <xf numFmtId="0" fontId="5" fillId="5" borderId="0" xfId="0" applyFont="1" applyFill="1" applyAlignment="1">
      <alignment vertical="center"/>
    </xf>
    <xf numFmtId="0" fontId="1" fillId="2" borderId="3" xfId="1" applyBorder="1" applyAlignment="1">
      <alignment vertical="center"/>
    </xf>
    <xf numFmtId="0" fontId="7" fillId="2" borderId="3" xfId="1" applyFont="1" applyBorder="1" applyAlignment="1">
      <alignment vertical="center"/>
    </xf>
    <xf numFmtId="0" fontId="8" fillId="2" borderId="3" xfId="1" applyFont="1" applyBorder="1" applyAlignment="1">
      <alignment vertical="center"/>
    </xf>
    <xf numFmtId="0" fontId="9" fillId="2" borderId="3" xfId="1" applyFont="1" applyBorder="1" applyAlignment="1">
      <alignment vertical="center"/>
    </xf>
    <xf numFmtId="0" fontId="10" fillId="2" borderId="3" xfId="1" applyFont="1" applyBorder="1" applyAlignment="1">
      <alignment vertical="center"/>
    </xf>
    <xf numFmtId="0" fontId="11" fillId="2" borderId="3" xfId="1" applyFont="1" applyBorder="1" applyAlignment="1">
      <alignment vertical="center"/>
    </xf>
  </cellXfs>
  <cellStyles count="2">
    <cellStyle name="Calculation" xfId="1" builtinId="22"/>
    <cellStyle name="Normal" xfId="0" builtinId="0"/>
  </cellStyles>
  <dxfs count="7">
    <dxf>
      <font>
        <b/>
        <i val="0"/>
        <strike val="0"/>
        <condense val="0"/>
        <extend val="0"/>
        <outline val="0"/>
        <shadow val="0"/>
        <u val="none"/>
        <vertAlign val="baseline"/>
        <sz val="12"/>
        <color theme="0"/>
        <name val="Aptos Narrow"/>
        <family val="2"/>
        <scheme val="minor"/>
      </font>
      <fill>
        <patternFill patternType="solid">
          <fgColor theme="4"/>
          <bgColor theme="4"/>
        </patternFill>
      </fill>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[Nasdaq_ETP_project.xlsx]Issue_Distribution_By_Region!pt_Issues_By_Region</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Issue_Distribution_By_Region!$B$3:$B$4</c:f>
              <c:strCache>
                <c:ptCount val="1"/>
                <c:pt idx="0">
                  <c:v>MISSING AUM</c:v>
                </c:pt>
              </c:strCache>
            </c:strRef>
          </c:tx>
          <c:spPr>
            <a:solidFill>
              <a:schemeClr val="accent1"/>
            </a:solidFill>
            <a:ln>
              <a:noFill/>
            </a:ln>
            <a:effectLst/>
          </c:spPr>
          <c:invertIfNegative val="0"/>
          <c:cat>
            <c:strRef>
              <c:f>Issue_Distribution_By_Region!$A$5:$A$8</c:f>
              <c:strCache>
                <c:ptCount val="3"/>
                <c:pt idx="0">
                  <c:v>APAC</c:v>
                </c:pt>
                <c:pt idx="1">
                  <c:v>EU</c:v>
                </c:pt>
                <c:pt idx="2">
                  <c:v>US</c:v>
                </c:pt>
              </c:strCache>
            </c:strRef>
          </c:cat>
          <c:val>
            <c:numRef>
              <c:f>Issue_Distribution_By_Region!$B$5:$B$8</c:f>
              <c:numCache>
                <c:formatCode>General</c:formatCode>
                <c:ptCount val="3"/>
                <c:pt idx="2">
                  <c:v>2</c:v>
                </c:pt>
              </c:numCache>
            </c:numRef>
          </c:val>
          <c:extLst>
            <c:ext xmlns:c16="http://schemas.microsoft.com/office/drawing/2014/chart" uri="{C3380CC4-5D6E-409C-BE32-E72D297353CC}">
              <c16:uniqueId val="{00000000-07D6-194D-8E99-DB617FB8A413}"/>
            </c:ext>
          </c:extLst>
        </c:ser>
        <c:ser>
          <c:idx val="1"/>
          <c:order val="1"/>
          <c:tx>
            <c:strRef>
              <c:f>Issue_Distribution_By_Region!$C$3:$C$4</c:f>
              <c:strCache>
                <c:ptCount val="1"/>
                <c:pt idx="0">
                  <c:v>MISSING NAV</c:v>
                </c:pt>
              </c:strCache>
            </c:strRef>
          </c:tx>
          <c:spPr>
            <a:solidFill>
              <a:schemeClr val="accent2"/>
            </a:solidFill>
            <a:ln>
              <a:noFill/>
            </a:ln>
            <a:effectLst/>
          </c:spPr>
          <c:invertIfNegative val="0"/>
          <c:cat>
            <c:strRef>
              <c:f>Issue_Distribution_By_Region!$A$5:$A$8</c:f>
              <c:strCache>
                <c:ptCount val="3"/>
                <c:pt idx="0">
                  <c:v>APAC</c:v>
                </c:pt>
                <c:pt idx="1">
                  <c:v>EU</c:v>
                </c:pt>
                <c:pt idx="2">
                  <c:v>US</c:v>
                </c:pt>
              </c:strCache>
            </c:strRef>
          </c:cat>
          <c:val>
            <c:numRef>
              <c:f>Issue_Distribution_By_Region!$C$5:$C$8</c:f>
              <c:numCache>
                <c:formatCode>General</c:formatCode>
                <c:ptCount val="3"/>
                <c:pt idx="1">
                  <c:v>1</c:v>
                </c:pt>
                <c:pt idx="2">
                  <c:v>1</c:v>
                </c:pt>
              </c:numCache>
            </c:numRef>
          </c:val>
          <c:extLst>
            <c:ext xmlns:c16="http://schemas.microsoft.com/office/drawing/2014/chart" uri="{C3380CC4-5D6E-409C-BE32-E72D297353CC}">
              <c16:uniqueId val="{00000001-07D6-194D-8E99-DB617FB8A413}"/>
            </c:ext>
          </c:extLst>
        </c:ser>
        <c:ser>
          <c:idx val="2"/>
          <c:order val="2"/>
          <c:tx>
            <c:strRef>
              <c:f>Issue_Distribution_By_Region!$D$3:$D$4</c:f>
              <c:strCache>
                <c:ptCount val="1"/>
                <c:pt idx="0">
                  <c:v>OK</c:v>
                </c:pt>
              </c:strCache>
            </c:strRef>
          </c:tx>
          <c:spPr>
            <a:solidFill>
              <a:schemeClr val="accent3"/>
            </a:solidFill>
            <a:ln>
              <a:noFill/>
            </a:ln>
            <a:effectLst/>
          </c:spPr>
          <c:invertIfNegative val="0"/>
          <c:cat>
            <c:strRef>
              <c:f>Issue_Distribution_By_Region!$A$5:$A$8</c:f>
              <c:strCache>
                <c:ptCount val="3"/>
                <c:pt idx="0">
                  <c:v>APAC</c:v>
                </c:pt>
                <c:pt idx="1">
                  <c:v>EU</c:v>
                </c:pt>
                <c:pt idx="2">
                  <c:v>US</c:v>
                </c:pt>
              </c:strCache>
            </c:strRef>
          </c:cat>
          <c:val>
            <c:numRef>
              <c:f>Issue_Distribution_By_Region!$D$5:$D$8</c:f>
              <c:numCache>
                <c:formatCode>General</c:formatCode>
                <c:ptCount val="3"/>
                <c:pt idx="0">
                  <c:v>2</c:v>
                </c:pt>
                <c:pt idx="1">
                  <c:v>1</c:v>
                </c:pt>
                <c:pt idx="2">
                  <c:v>3</c:v>
                </c:pt>
              </c:numCache>
            </c:numRef>
          </c:val>
          <c:extLst>
            <c:ext xmlns:c16="http://schemas.microsoft.com/office/drawing/2014/chart" uri="{C3380CC4-5D6E-409C-BE32-E72D297353CC}">
              <c16:uniqueId val="{00000002-07D6-194D-8E99-DB617FB8A413}"/>
            </c:ext>
          </c:extLst>
        </c:ser>
        <c:dLbls>
          <c:showLegendKey val="0"/>
          <c:showVal val="0"/>
          <c:showCatName val="0"/>
          <c:showSerName val="0"/>
          <c:showPercent val="0"/>
          <c:showBubbleSize val="0"/>
        </c:dLbls>
        <c:gapWidth val="219"/>
        <c:overlap val="-27"/>
        <c:axId val="1498441039"/>
        <c:axId val="1679255760"/>
      </c:barChart>
      <c:catAx>
        <c:axId val="14984410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255760"/>
        <c:crosses val="autoZero"/>
        <c:auto val="1"/>
        <c:lblAlgn val="ctr"/>
        <c:lblOffset val="100"/>
        <c:noMultiLvlLbl val="0"/>
      </c:catAx>
      <c:valAx>
        <c:axId val="1679255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441039"/>
        <c:crosses val="autoZero"/>
        <c:crossBetween val="between"/>
      </c:valAx>
      <c:spPr>
        <a:noFill/>
        <a:ln>
          <a:noFill/>
        </a:ln>
        <a:effectLst/>
      </c:spPr>
    </c:plotArea>
    <c:legend>
      <c:legendPos val="r"/>
      <c:layout>
        <c:manualLayout>
          <c:xMode val="edge"/>
          <c:yMode val="edge"/>
          <c:x val="0.8776143437846442"/>
          <c:y val="0.40047177926288624"/>
          <c:w val="0.12238565621535576"/>
          <c:h val="0.21586283332230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25401</xdr:rowOff>
    </xdr:from>
    <xdr:to>
      <xdr:col>5</xdr:col>
      <xdr:colOff>482092</xdr:colOff>
      <xdr:row>3</xdr:row>
      <xdr:rowOff>50801</xdr:rowOff>
    </xdr:to>
    <mc:AlternateContent xmlns:mc="http://schemas.openxmlformats.org/markup-compatibility/2006">
      <mc:Choice xmlns:a14="http://schemas.microsoft.com/office/drawing/2010/main" Requires="a14">
        <xdr:graphicFrame macro="">
          <xdr:nvGraphicFramePr>
            <xdr:cNvPr id="2" name="Data_Issue 1">
              <a:extLst>
                <a:ext uri="{FF2B5EF4-FFF2-40B4-BE49-F238E27FC236}">
                  <a16:creationId xmlns:a16="http://schemas.microsoft.com/office/drawing/2014/main" id="{5F8E8687-B7C1-CF4E-A444-8C44880EA864}"/>
                </a:ext>
              </a:extLst>
            </xdr:cNvPr>
            <xdr:cNvGraphicFramePr/>
          </xdr:nvGraphicFramePr>
          <xdr:xfrm>
            <a:off x="0" y="0"/>
            <a:ext cx="0" cy="0"/>
          </xdr:xfrm>
          <a:graphic>
            <a:graphicData uri="http://schemas.microsoft.com/office/drawing/2010/slicer">
              <sle:slicer xmlns:sle="http://schemas.microsoft.com/office/drawing/2010/slicer" name="Data_Issue 1"/>
            </a:graphicData>
          </a:graphic>
        </xdr:graphicFrame>
      </mc:Choice>
      <mc:Fallback>
        <xdr:sp macro="" textlink="">
          <xdr:nvSpPr>
            <xdr:cNvPr id="0" name=""/>
            <xdr:cNvSpPr>
              <a:spLocks noTextEdit="1"/>
            </xdr:cNvSpPr>
          </xdr:nvSpPr>
          <xdr:spPr>
            <a:xfrm>
              <a:off x="3302000" y="431801"/>
              <a:ext cx="1307592" cy="22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253</xdr:colOff>
      <xdr:row>2</xdr:row>
      <xdr:rowOff>25401</xdr:rowOff>
    </xdr:from>
    <xdr:to>
      <xdr:col>3</xdr:col>
      <xdr:colOff>482345</xdr:colOff>
      <xdr:row>3</xdr:row>
      <xdr:rowOff>50800</xdr:rowOff>
    </xdr:to>
    <mc:AlternateContent xmlns:mc="http://schemas.openxmlformats.org/markup-compatibility/2006">
      <mc:Choice xmlns:a14="http://schemas.microsoft.com/office/drawing/2010/main" Requires="a14">
        <xdr:graphicFrame macro="">
          <xdr:nvGraphicFramePr>
            <xdr:cNvPr id="3" name="Status 1">
              <a:extLst>
                <a:ext uri="{FF2B5EF4-FFF2-40B4-BE49-F238E27FC236}">
                  <a16:creationId xmlns:a16="http://schemas.microsoft.com/office/drawing/2014/main" id="{7ED00922-860E-ED4C-89F7-ED71E0D970D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1651253" y="431801"/>
              <a:ext cx="1307592" cy="22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25401</xdr:rowOff>
    </xdr:from>
    <xdr:to>
      <xdr:col>1</xdr:col>
      <xdr:colOff>482599</xdr:colOff>
      <xdr:row>3</xdr:row>
      <xdr:rowOff>50801</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C896C71F-E0CA-5F47-AB14-155941A4CF4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431801"/>
              <a:ext cx="1308099" cy="228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11</xdr:row>
      <xdr:rowOff>0</xdr:rowOff>
    </xdr:from>
    <xdr:to>
      <xdr:col>9</xdr:col>
      <xdr:colOff>25400</xdr:colOff>
      <xdr:row>32</xdr:row>
      <xdr:rowOff>12700</xdr:rowOff>
    </xdr:to>
    <xdr:graphicFrame macro="">
      <xdr:nvGraphicFramePr>
        <xdr:cNvPr id="5" name="ETP Data Issues by Region">
          <a:extLst>
            <a:ext uri="{FF2B5EF4-FFF2-40B4-BE49-F238E27FC236}">
              <a16:creationId xmlns:a16="http://schemas.microsoft.com/office/drawing/2014/main" id="{B3EFF8A0-49E0-A04F-A05C-5CB340CBE4CE}"/>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lean_atp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ean_atp_data"/>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YASIA WILLIAMS" refreshedDate="46043.811803819444" createdVersion="8" refreshedVersion="8" minRefreshableVersion="3" recordCount="10" xr:uid="{0F09D4FC-AA90-3747-8FF1-E36744DAF844}">
  <cacheSource type="worksheet">
    <worksheetSource name="Raw_ETP_data4"/>
  </cacheSource>
  <cacheFields count="12">
    <cacheField name="Product_ID" numFmtId="0">
      <sharedItems containsSemiMixedTypes="0" containsString="0" containsNumber="1" containsInteger="1" minValue="1001" maxValue="1010"/>
    </cacheField>
    <cacheField name="Ticker" numFmtId="0">
      <sharedItems/>
    </cacheField>
    <cacheField name="Issuer" numFmtId="0">
      <sharedItems/>
    </cacheField>
    <cacheField name="Launch_Date" numFmtId="14">
      <sharedItems containsSemiMixedTypes="0" containsNonDate="0" containsDate="1" containsString="0" minDate="2023-01-15T00:00:00" maxDate="2023-05-02T00:00:00"/>
    </cacheField>
    <cacheField name="NAV" numFmtId="0">
      <sharedItems containsString="0" containsBlank="1" containsNumber="1" minValue="18.12" maxValue="30.2"/>
    </cacheField>
    <cacheField name="AUM" numFmtId="0">
      <sharedItems containsString="0" containsBlank="1" containsNumber="1" containsInteger="1" minValue="-200000" maxValue="15000000"/>
    </cacheField>
    <cacheField name="Region" numFmtId="0">
      <sharedItems count="3">
        <s v="US"/>
        <s v="EU"/>
        <s v="APAC"/>
      </sharedItems>
    </cacheField>
    <cacheField name="Status" numFmtId="0">
      <sharedItems count="2">
        <s v="Active"/>
        <s v="Pending"/>
      </sharedItems>
    </cacheField>
    <cacheField name="Clean_Launch_Date" numFmtId="0">
      <sharedItems containsSemiMixedTypes="0" containsString="0" containsNumber="1" containsInteger="1" minValue="44941" maxValue="45047"/>
    </cacheField>
    <cacheField name="NAV_Clean" numFmtId="0">
      <sharedItems containsMixedTypes="1" containsNumber="1" minValue="18.12" maxValue="30.2"/>
    </cacheField>
    <cacheField name="AUM_Clean" numFmtId="0">
      <sharedItems containsMixedTypes="1" containsNumber="1" containsInteger="1" minValue="3000000" maxValue="15000000" count="9">
        <n v="12000000"/>
        <n v="8500000"/>
        <n v="5000000"/>
        <s v=""/>
        <n v="3000000"/>
        <n v="15000000"/>
        <n v="9000000"/>
        <n v="4500000"/>
        <n v="7000000"/>
      </sharedItems>
    </cacheField>
    <cacheField name="Data_Issue" numFmtId="0">
      <sharedItems count="3">
        <s v="OK"/>
        <s v="MISSING NAV"/>
        <s v="MISSING AUM"/>
      </sharedItems>
    </cacheField>
  </cacheFields>
  <extLst>
    <ext xmlns:x14="http://schemas.microsoft.com/office/spreadsheetml/2009/9/main" uri="{725AE2AE-9491-48be-B2B4-4EB974FC3084}">
      <x14:pivotCacheDefinition pivotCacheId="550061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s v="QETP"/>
    <s v="Alpha Funds"/>
    <d v="2023-01-15T00:00:00"/>
    <n v="25.34"/>
    <n v="12000000"/>
    <x v="0"/>
    <x v="0"/>
    <n v="44941"/>
    <n v="25.34"/>
    <x v="0"/>
    <x v="0"/>
  </r>
  <r>
    <n v="1002"/>
    <s v="BETP"/>
    <s v="Beta Capital"/>
    <d v="2023-01-20T00:00:00"/>
    <n v="18.12"/>
    <n v="8500000"/>
    <x v="0"/>
    <x v="0"/>
    <n v="44946"/>
    <n v="18.12"/>
    <x v="1"/>
    <x v="0"/>
  </r>
  <r>
    <n v="1003"/>
    <s v="CETP"/>
    <s v="Gamma Invest"/>
    <d v="2023-02-02T00:00:00"/>
    <m/>
    <n v="5000000"/>
    <x v="1"/>
    <x v="0"/>
    <n v="44959"/>
    <s v=""/>
    <x v="2"/>
    <x v="1"/>
  </r>
  <r>
    <n v="1004"/>
    <s v="DETP"/>
    <s v="Delta Group"/>
    <d v="2023-02-15T00:00:00"/>
    <n v="22.1"/>
    <n v="-200000"/>
    <x v="0"/>
    <x v="0"/>
    <n v="44972"/>
    <n v="22.1"/>
    <x v="3"/>
    <x v="2"/>
  </r>
  <r>
    <n v="1005"/>
    <s v="AETP"/>
    <s v="Alpha Funds"/>
    <d v="2023-03-15T00:00:00"/>
    <n v="19.75"/>
    <n v="3000000"/>
    <x v="2"/>
    <x v="1"/>
    <n v="45000"/>
    <n v="19.75"/>
    <x v="4"/>
    <x v="0"/>
  </r>
  <r>
    <n v="1006"/>
    <s v="FETP"/>
    <s v=" Omega Corp"/>
    <d v="2023-03-30T00:00:00"/>
    <m/>
    <m/>
    <x v="0"/>
    <x v="0"/>
    <n v="45015"/>
    <s v=""/>
    <x v="3"/>
    <x v="2"/>
  </r>
  <r>
    <n v="1007"/>
    <s v="RETP"/>
    <s v="Zeta Trust"/>
    <d v="2023-04-05T00:00:00"/>
    <n v="30.2"/>
    <n v="15000000"/>
    <x v="0"/>
    <x v="0"/>
    <n v="45021"/>
    <n v="30.2"/>
    <x v="5"/>
    <x v="0"/>
  </r>
  <r>
    <n v="1008"/>
    <s v="METP"/>
    <s v="Mu Holdings"/>
    <d v="2023-04-10T00:00:00"/>
    <n v="27.1"/>
    <n v="9000000"/>
    <x v="1"/>
    <x v="0"/>
    <n v="45026"/>
    <n v="27.1"/>
    <x v="6"/>
    <x v="0"/>
  </r>
  <r>
    <n v="1009"/>
    <s v="SETP"/>
    <s v="Sigma LLC"/>
    <d v="2023-04-18T00:00:00"/>
    <m/>
    <n v="4500000"/>
    <x v="0"/>
    <x v="0"/>
    <n v="45034"/>
    <s v=""/>
    <x v="7"/>
    <x v="1"/>
  </r>
  <r>
    <n v="1010"/>
    <s v="TETP"/>
    <s v="Theta Mgmt"/>
    <d v="2023-05-01T00:00:00"/>
    <n v="20.149999999999999"/>
    <n v="7000000"/>
    <x v="2"/>
    <x v="0"/>
    <n v="45047"/>
    <n v="20.149999999999999"/>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5047F3-C419-A94B-BE62-9400E283DB54}" name="pt_Issues_By_Reg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8" firstHeaderRow="1" firstDataRow="2" firstDataCol="1"/>
  <pivotFields count="12">
    <pivotField dataField="1" showAll="0"/>
    <pivotField showAll="0"/>
    <pivotField showAll="0"/>
    <pivotField numFmtId="14" showAll="0"/>
    <pivotField showAll="0"/>
    <pivotField showAll="0"/>
    <pivotField axis="axisRow" showAll="0">
      <items count="4">
        <item x="2"/>
        <item x="1"/>
        <item x="0"/>
        <item t="default"/>
      </items>
    </pivotField>
    <pivotField showAll="0">
      <items count="3">
        <item x="0"/>
        <item x="1"/>
        <item t="default"/>
      </items>
    </pivotField>
    <pivotField showAll="0"/>
    <pivotField showAll="0"/>
    <pivotField showAll="0"/>
    <pivotField axis="axisCol" showAll="0">
      <items count="4">
        <item x="2"/>
        <item x="1"/>
        <item x="0"/>
        <item t="default"/>
      </items>
    </pivotField>
  </pivotFields>
  <rowFields count="1">
    <field x="6"/>
  </rowFields>
  <rowItems count="4">
    <i>
      <x/>
    </i>
    <i>
      <x v="1"/>
    </i>
    <i>
      <x v="2"/>
    </i>
    <i t="grand">
      <x/>
    </i>
  </rowItems>
  <colFields count="1">
    <field x="11"/>
  </colFields>
  <colItems count="4">
    <i>
      <x/>
    </i>
    <i>
      <x v="1"/>
    </i>
    <i>
      <x v="2"/>
    </i>
    <i t="grand">
      <x/>
    </i>
  </colItems>
  <dataFields count="1">
    <dataField name="Count of Product_ID" fld="0" subtotal="count" baseField="0" baseItem="0"/>
  </dataField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2D1E81-819D-1848-8196-6193A6F0724E}" name="pt_AUM_By_Statu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2">
    <pivotField showAll="0"/>
    <pivotField showAll="0"/>
    <pivotField showAll="0"/>
    <pivotField numFmtId="14" showAll="0"/>
    <pivotField showAll="0"/>
    <pivotField showAll="0"/>
    <pivotField showAll="0"/>
    <pivotField axis="axisRow" showAll="0">
      <items count="3">
        <item x="0"/>
        <item x="1"/>
        <item t="default"/>
      </items>
    </pivotField>
    <pivotField showAll="0"/>
    <pivotField showAll="0"/>
    <pivotField dataField="1" showAll="0">
      <items count="10">
        <item x="4"/>
        <item x="7"/>
        <item x="2"/>
        <item x="8"/>
        <item x="1"/>
        <item x="6"/>
        <item x="0"/>
        <item x="5"/>
        <item x="3"/>
        <item t="default"/>
      </items>
    </pivotField>
    <pivotField showAll="0"/>
  </pivotFields>
  <rowFields count="1">
    <field x="7"/>
  </rowFields>
  <rowItems count="3">
    <i>
      <x/>
    </i>
    <i>
      <x v="1"/>
    </i>
    <i t="grand">
      <x/>
    </i>
  </rowItems>
  <colItems count="1">
    <i/>
  </colItems>
  <dataFields count="1">
    <dataField name="Sum of AUM_Clea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584E97-25A6-E649-8DCE-F85EDA4B754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E10" firstHeaderRow="1" firstDataRow="2" firstDataCol="1"/>
  <pivotFields count="12">
    <pivotField dataField="1" showAll="0"/>
    <pivotField showAll="0"/>
    <pivotField showAll="0"/>
    <pivotField numFmtId="14" showAll="0"/>
    <pivotField showAll="0"/>
    <pivotField showAll="0"/>
    <pivotField axis="axisRow" showAll="0">
      <items count="4">
        <item x="2"/>
        <item x="1"/>
        <item x="0"/>
        <item t="default"/>
      </items>
    </pivotField>
    <pivotField showAll="0">
      <items count="3">
        <item x="0"/>
        <item x="1"/>
        <item t="default"/>
      </items>
    </pivotField>
    <pivotField showAll="0"/>
    <pivotField showAll="0"/>
    <pivotField showAll="0"/>
    <pivotField axis="axisCol" showAll="0">
      <items count="4">
        <item x="2"/>
        <item x="1"/>
        <item x="0"/>
        <item t="default"/>
      </items>
    </pivotField>
  </pivotFields>
  <rowFields count="1">
    <field x="6"/>
  </rowFields>
  <rowItems count="4">
    <i>
      <x/>
    </i>
    <i>
      <x v="1"/>
    </i>
    <i>
      <x v="2"/>
    </i>
    <i t="grand">
      <x/>
    </i>
  </rowItems>
  <colFields count="1">
    <field x="11"/>
  </colFields>
  <colItems count="4">
    <i>
      <x/>
    </i>
    <i>
      <x v="1"/>
    </i>
    <i>
      <x v="2"/>
    </i>
    <i t="grand">
      <x/>
    </i>
  </colItems>
  <dataFields count="1">
    <dataField name="Count of Product_ID" fld="0"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C92B0B7-C1A8-0140-B952-199C4A059EE7}" sourceName="Region">
  <pivotTables>
    <pivotTable tabId="4" name="pt_Issues_By_Region"/>
    <pivotTable tabId="6" name="PivotTable3"/>
  </pivotTables>
  <data>
    <tabular pivotCacheId="55006126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988E815-7BE7-DB46-8292-F5F30A991706}" sourceName="Status">
  <pivotTables>
    <pivotTable tabId="4" name="pt_Issues_By_Region"/>
    <pivotTable tabId="6" name="PivotTable3"/>
  </pivotTables>
  <data>
    <tabular pivotCacheId="550061260">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_Issue" xr10:uid="{0D292DC5-78B5-CC4C-A84E-2AF89B211E02}" sourceName="Data_Issue">
  <pivotTables>
    <pivotTable tabId="4" name="pt_Issues_By_Region"/>
    <pivotTable tabId="6" name="PivotTable3"/>
  </pivotTables>
  <data>
    <tabular pivotCacheId="55006126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4248D0-A961-0042-BA8C-8C623E82D397}" cache="Slicer_Region" caption="Region" rowHeight="251883"/>
  <slicer name="Status 1" xr10:uid="{EE0C6602-C054-B840-A4BE-AC0EA4BD2320}" cache="Slicer_Status" caption="Status" style="SlicerStyleLight3" rowHeight="251883"/>
  <slicer name="Data_Issue 1" xr10:uid="{2CBA15B1-A3C7-684B-8EA5-784D600F3972}" cache="Slicer_Data_Issue" caption="Data_Issue" style="SlicerStyleLight3"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1F4A26-36C1-6F43-A372-69FC153C2773}" name="Raw_ETP_data" displayName="Raw_ETP_data" ref="A1:H12" totalsRowShown="0">
  <autoFilter ref="A1:H12" xr:uid="{4A1F4A26-36C1-6F43-A372-69FC153C2773}"/>
  <tableColumns count="8">
    <tableColumn id="1" xr3:uid="{989DDEE6-05D2-E642-BF22-AA81500B9E7F}" name="Product_ID"/>
    <tableColumn id="2" xr3:uid="{789C74D6-A4CB-5144-BC23-45B9CAEBE171}" name="Ticker"/>
    <tableColumn id="3" xr3:uid="{44CC9055-29B4-9647-BFF7-A715C090C6EB}" name="Issuer"/>
    <tableColumn id="4" xr3:uid="{F16235FA-3978-D643-8C26-F908DCC67DE1}" name="Launch_Date"/>
    <tableColumn id="5" xr3:uid="{88402C26-1BC9-6940-9DA3-ED2766F70365}" name="NAV"/>
    <tableColumn id="6" xr3:uid="{930C0D48-7846-0E49-BE1A-F35FEDA6590D}" name="AUM"/>
    <tableColumn id="7" xr3:uid="{7AB3D516-1053-104C-9106-265ED60C010F}" name="Region"/>
    <tableColumn id="8" xr3:uid="{70C09B2F-D9F4-F14C-85C0-E1264F6C5B9D}"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3052F0-F7E2-3B46-9DD6-EC86A52C0333}" name="Data_Audit" displayName="Data_Audit" ref="A1:B10" totalsRowShown="0" headerRowDxfId="0" dataDxfId="1" tableBorderDxfId="4">
  <autoFilter ref="A1:B10" xr:uid="{943052F0-F7E2-3B46-9DD6-EC86A52C0333}"/>
  <tableColumns count="2">
    <tableColumn id="1" xr3:uid="{29446DC2-8373-A646-B25E-62206669FCE4}" name="Metric" dataDxfId="3"/>
    <tableColumn id="2" xr3:uid="{C070B6ED-C15A-3E4B-BCAA-EA860BBE14D8}" name="Value" dataDxfId="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6CB73D6-ECCE-5845-8917-15C44CDB60FD}" name="Raw_ETP_data4" displayName="Raw_ETP_data4" ref="A1:L11" totalsRowShown="0">
  <autoFilter ref="A1:L11" xr:uid="{A6CB73D6-ECCE-5845-8917-15C44CDB60FD}"/>
  <tableColumns count="12">
    <tableColumn id="1" xr3:uid="{C356EAF5-4D7B-F844-809C-701A84FAF0ED}" name="Product_ID"/>
    <tableColumn id="2" xr3:uid="{51B6D1DB-B1B5-0044-9ED2-8FCC5D68E2A0}" name="Ticker"/>
    <tableColumn id="3" xr3:uid="{966784A2-9BAE-FB49-858B-CF6C8B30F068}" name="Issuer"/>
    <tableColumn id="4" xr3:uid="{9BE43D81-5AF5-F642-A96A-7CBF7A0CE335}" name="Launch_Date"/>
    <tableColumn id="5" xr3:uid="{B248B378-12C6-574A-944A-271EC3DE7743}" name="NAV"/>
    <tableColumn id="6" xr3:uid="{18D7945C-28F0-584B-BCF9-FD9D93BC7329}" name="AUM"/>
    <tableColumn id="7" xr3:uid="{9CEFCA00-75F8-1A4E-8B90-1B7B5254A15A}" name="Region"/>
    <tableColumn id="8" xr3:uid="{335D236C-16AF-CC49-9C14-DC8B8FED5970}" name="Status"/>
    <tableColumn id="12" xr3:uid="{87CC0C74-EE5C-A246-935A-A70C870A50C7}" name="Clean_Launch_Date" dataDxfId="6">
      <calculatedColumnFormula>IFERROR(IF(ISNUMBER(D2), D2, DATEVALUE(SUBSTITUTE(SUBSTITUTE(D2, " . ", " / "), "-", "/"))), "")</calculatedColumnFormula>
    </tableColumn>
    <tableColumn id="13" xr3:uid="{A4F67B57-094A-DD4A-B581-32BC32343FA7}" name="NAV_Clean" dataDxfId="5">
      <calculatedColumnFormula>IF(E2="", "", VALUE(E2))</calculatedColumnFormula>
    </tableColumn>
    <tableColumn id="14" xr3:uid="{0F5185AA-0A60-C141-98CA-C02E46B16B8B}" name="AUM_Clean">
      <calculatedColumnFormula>IF(F2="", "",IF(F2&lt;0, "", F2))</calculatedColumnFormula>
    </tableColumn>
    <tableColumn id="15" xr3:uid="{264AFE43-F16A-F049-9705-0641260DE31C}" name="Data_Issue">
      <calculatedColumnFormula>IF(COUNTIF($A$2:$A2,A2) &gt;1, "DUPLICATE", IF(K2="", "MISSING AUM", IF(J2="", "MISSING NAV", "OK")))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B4AD1-B344-E443-8AE1-9985F734CA47}">
  <dimension ref="A1:H12"/>
  <sheetViews>
    <sheetView zoomScale="181" zoomScaleNormal="181" workbookViewId="0">
      <selection sqref="A1:H12"/>
    </sheetView>
  </sheetViews>
  <sheetFormatPr baseColWidth="10" defaultRowHeight="16" x14ac:dyDescent="0.2"/>
  <cols>
    <col min="1" max="2" width="11" customWidth="1"/>
    <col min="3" max="3" width="13" customWidth="1"/>
    <col min="4" max="9" width="11" customWidth="1"/>
    <col min="10" max="11" width="12" customWidth="1"/>
  </cols>
  <sheetData>
    <row r="1" spans="1:8" x14ac:dyDescent="0.2">
      <c r="A1" t="s">
        <v>0</v>
      </c>
      <c r="B1" t="s">
        <v>1</v>
      </c>
      <c r="C1" t="s">
        <v>2</v>
      </c>
      <c r="D1" t="s">
        <v>3</v>
      </c>
      <c r="E1" t="s">
        <v>4</v>
      </c>
      <c r="F1" t="s">
        <v>5</v>
      </c>
      <c r="G1" t="s">
        <v>6</v>
      </c>
      <c r="H1" t="s">
        <v>7</v>
      </c>
    </row>
    <row r="2" spans="1:8" x14ac:dyDescent="0.2">
      <c r="A2">
        <v>1001</v>
      </c>
      <c r="B2" t="s">
        <v>8</v>
      </c>
      <c r="C2" t="s">
        <v>18</v>
      </c>
      <c r="D2" s="1">
        <v>44941</v>
      </c>
      <c r="E2">
        <v>25.34</v>
      </c>
      <c r="F2">
        <v>12000000</v>
      </c>
      <c r="G2" t="s">
        <v>27</v>
      </c>
      <c r="H2" t="s">
        <v>30</v>
      </c>
    </row>
    <row r="3" spans="1:8" x14ac:dyDescent="0.2">
      <c r="A3">
        <v>1002</v>
      </c>
      <c r="B3" t="s">
        <v>9</v>
      </c>
      <c r="C3" t="s">
        <v>19</v>
      </c>
      <c r="D3" s="1">
        <v>44946</v>
      </c>
      <c r="E3">
        <v>18.12</v>
      </c>
      <c r="F3">
        <v>8500000</v>
      </c>
      <c r="G3" t="s">
        <v>27</v>
      </c>
      <c r="H3" t="s">
        <v>30</v>
      </c>
    </row>
    <row r="4" spans="1:8" x14ac:dyDescent="0.2">
      <c r="A4">
        <v>1003</v>
      </c>
      <c r="B4" t="s">
        <v>10</v>
      </c>
      <c r="C4" t="s">
        <v>20</v>
      </c>
      <c r="D4" s="1">
        <v>44959</v>
      </c>
      <c r="F4">
        <v>5000000</v>
      </c>
      <c r="G4" t="s">
        <v>28</v>
      </c>
      <c r="H4" t="s">
        <v>30</v>
      </c>
    </row>
    <row r="5" spans="1:8" x14ac:dyDescent="0.2">
      <c r="A5">
        <v>1004</v>
      </c>
      <c r="B5" t="s">
        <v>11</v>
      </c>
      <c r="C5" t="s">
        <v>21</v>
      </c>
      <c r="D5" s="1">
        <v>44972</v>
      </c>
      <c r="E5">
        <v>22.1</v>
      </c>
      <c r="F5">
        <v>-200000</v>
      </c>
      <c r="G5" t="s">
        <v>27</v>
      </c>
      <c r="H5" t="s">
        <v>30</v>
      </c>
    </row>
    <row r="6" spans="1:8" x14ac:dyDescent="0.2">
      <c r="A6">
        <v>1005</v>
      </c>
      <c r="B6" t="s">
        <v>12</v>
      </c>
      <c r="C6" t="s">
        <v>18</v>
      </c>
      <c r="D6" s="1">
        <v>45000</v>
      </c>
      <c r="E6">
        <v>19.75</v>
      </c>
      <c r="F6">
        <v>3000000</v>
      </c>
      <c r="G6" t="s">
        <v>29</v>
      </c>
      <c r="H6" t="s">
        <v>31</v>
      </c>
    </row>
    <row r="7" spans="1:8" x14ac:dyDescent="0.2">
      <c r="A7">
        <v>1003</v>
      </c>
      <c r="B7" t="s">
        <v>10</v>
      </c>
      <c r="C7" t="s">
        <v>20</v>
      </c>
      <c r="D7" s="1">
        <v>44958</v>
      </c>
      <c r="E7">
        <v>21.45</v>
      </c>
      <c r="F7">
        <v>5000000</v>
      </c>
      <c r="G7" t="s">
        <v>28</v>
      </c>
      <c r="H7" t="s">
        <v>30</v>
      </c>
    </row>
    <row r="8" spans="1:8" x14ac:dyDescent="0.2">
      <c r="A8">
        <v>1006</v>
      </c>
      <c r="B8" t="s">
        <v>13</v>
      </c>
      <c r="C8" t="s">
        <v>22</v>
      </c>
      <c r="D8" s="1">
        <v>45015</v>
      </c>
      <c r="G8" t="s">
        <v>27</v>
      </c>
      <c r="H8" t="s">
        <v>30</v>
      </c>
    </row>
    <row r="9" spans="1:8" x14ac:dyDescent="0.2">
      <c r="A9">
        <v>1007</v>
      </c>
      <c r="B9" t="s">
        <v>14</v>
      </c>
      <c r="C9" t="s">
        <v>23</v>
      </c>
      <c r="D9" s="1">
        <v>45021</v>
      </c>
      <c r="E9">
        <v>30.2</v>
      </c>
      <c r="F9">
        <v>15000000</v>
      </c>
      <c r="G9" t="s">
        <v>27</v>
      </c>
      <c r="H9" t="s">
        <v>30</v>
      </c>
    </row>
    <row r="10" spans="1:8" x14ac:dyDescent="0.2">
      <c r="A10">
        <v>1008</v>
      </c>
      <c r="B10" t="s">
        <v>15</v>
      </c>
      <c r="C10" t="s">
        <v>24</v>
      </c>
      <c r="D10" s="1">
        <v>45026</v>
      </c>
      <c r="E10">
        <v>27.1</v>
      </c>
      <c r="F10">
        <v>9000000</v>
      </c>
      <c r="G10" t="s">
        <v>28</v>
      </c>
      <c r="H10" t="s">
        <v>30</v>
      </c>
    </row>
    <row r="11" spans="1:8" x14ac:dyDescent="0.2">
      <c r="A11">
        <v>1009</v>
      </c>
      <c r="B11" t="s">
        <v>17</v>
      </c>
      <c r="C11" t="s">
        <v>25</v>
      </c>
      <c r="D11" s="1">
        <v>45034</v>
      </c>
      <c r="F11">
        <v>4500000</v>
      </c>
      <c r="G11" t="s">
        <v>27</v>
      </c>
      <c r="H11" t="s">
        <v>30</v>
      </c>
    </row>
    <row r="12" spans="1:8" x14ac:dyDescent="0.2">
      <c r="A12">
        <v>1010</v>
      </c>
      <c r="B12" t="s">
        <v>16</v>
      </c>
      <c r="C12" t="s">
        <v>26</v>
      </c>
      <c r="D12" s="1">
        <v>45047</v>
      </c>
      <c r="E12">
        <v>20.149999999999999</v>
      </c>
      <c r="F12">
        <v>7000000</v>
      </c>
      <c r="G12" t="s">
        <v>29</v>
      </c>
      <c r="H12"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6B73-7CBA-634C-B8AA-764FB285A99B}">
  <dimension ref="A1:B10"/>
  <sheetViews>
    <sheetView topLeftCell="A4" zoomScale="170" zoomScaleNormal="170" workbookViewId="0">
      <selection activeCell="B11" sqref="B11"/>
    </sheetView>
  </sheetViews>
  <sheetFormatPr baseColWidth="10" defaultRowHeight="16" x14ac:dyDescent="0.2"/>
  <cols>
    <col min="1" max="1" width="19.83203125" customWidth="1"/>
    <col min="2" max="2" width="11" customWidth="1"/>
  </cols>
  <sheetData>
    <row r="1" spans="1:2" x14ac:dyDescent="0.2">
      <c r="A1" s="5" t="s">
        <v>32</v>
      </c>
      <c r="B1" s="5" t="s">
        <v>34</v>
      </c>
    </row>
    <row r="2" spans="1:2" x14ac:dyDescent="0.2">
      <c r="A2" s="3" t="s">
        <v>33</v>
      </c>
      <c r="B2" s="3">
        <f>COUNTA('raw_etp_data'!A2:A12)</f>
        <v>11</v>
      </c>
    </row>
    <row r="3" spans="1:2" x14ac:dyDescent="0.2">
      <c r="A3" s="4" t="s">
        <v>36</v>
      </c>
      <c r="B3" s="4">
        <f>COUNTBLANK('raw_etp_data'!E2:E12)</f>
        <v>3</v>
      </c>
    </row>
    <row r="4" spans="1:2" x14ac:dyDescent="0.2">
      <c r="A4" s="3" t="s">
        <v>35</v>
      </c>
      <c r="B4" s="3">
        <f>COUNTA('raw_etp_data'!F2:F12)</f>
        <v>10</v>
      </c>
    </row>
    <row r="5" spans="1:2" x14ac:dyDescent="0.2">
      <c r="A5" s="4" t="s">
        <v>37</v>
      </c>
      <c r="B5" s="4">
        <f>COUNTA('raw_etp_data'!A2:A12)-COUNTA(_xlfn.UNIQUE('raw_etp_data'!A2:A12))</f>
        <v>1</v>
      </c>
    </row>
    <row r="6" spans="1:2" x14ac:dyDescent="0.2">
      <c r="A6" s="3" t="s">
        <v>38</v>
      </c>
      <c r="B6" s="3">
        <f>COUNTIF('raw_etp_data'!F2:F12, "&lt;0")</f>
        <v>1</v>
      </c>
    </row>
    <row r="7" spans="1:2" x14ac:dyDescent="0.2">
      <c r="A7" s="3" t="s">
        <v>44</v>
      </c>
      <c r="B7" s="3"/>
    </row>
    <row r="8" spans="1:2" x14ac:dyDescent="0.2">
      <c r="A8" s="6" t="s">
        <v>43</v>
      </c>
      <c r="B8" s="6">
        <f>COUNTA(clean_etp_data!A2:A100)</f>
        <v>10</v>
      </c>
    </row>
    <row r="9" spans="1:2" x14ac:dyDescent="0.2">
      <c r="A9" s="6" t="s">
        <v>45</v>
      </c>
      <c r="B9" s="6">
        <f>COUNTIF(clean_etp_data!L2:L100, "OK")</f>
        <v>6</v>
      </c>
    </row>
    <row r="10" spans="1:2" x14ac:dyDescent="0.2">
      <c r="A10" s="3" t="s">
        <v>46</v>
      </c>
      <c r="B10" s="3">
        <f>B8-B9</f>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3F7B-7B4C-AC4C-9800-304B659CBBD1}">
  <dimension ref="A1:L12"/>
  <sheetViews>
    <sheetView workbookViewId="0">
      <selection activeCell="I7" sqref="I7"/>
    </sheetView>
  </sheetViews>
  <sheetFormatPr baseColWidth="10" defaultRowHeight="16" x14ac:dyDescent="0.2"/>
  <cols>
    <col min="4" max="4" width="16" customWidth="1"/>
    <col min="9" max="9" width="19.6640625" customWidth="1"/>
    <col min="10" max="10" width="13.5" style="2" customWidth="1"/>
    <col min="11" max="11" width="14.6640625" customWidth="1"/>
    <col min="12" max="12" width="13.6640625" customWidth="1"/>
  </cols>
  <sheetData>
    <row r="1" spans="1:12" x14ac:dyDescent="0.2">
      <c r="A1" t="s">
        <v>0</v>
      </c>
      <c r="B1" t="s">
        <v>1</v>
      </c>
      <c r="C1" t="s">
        <v>2</v>
      </c>
      <c r="D1" t="s">
        <v>3</v>
      </c>
      <c r="E1" t="s">
        <v>4</v>
      </c>
      <c r="F1" t="s">
        <v>5</v>
      </c>
      <c r="G1" t="s">
        <v>6</v>
      </c>
      <c r="H1" t="s">
        <v>7</v>
      </c>
      <c r="I1" s="1" t="s">
        <v>39</v>
      </c>
      <c r="J1" s="2" t="s">
        <v>40</v>
      </c>
      <c r="K1" t="s">
        <v>41</v>
      </c>
      <c r="L1" t="s">
        <v>42</v>
      </c>
    </row>
    <row r="2" spans="1:12" x14ac:dyDescent="0.2">
      <c r="A2">
        <v>1001</v>
      </c>
      <c r="B2" t="s">
        <v>8</v>
      </c>
      <c r="C2" t="s">
        <v>18</v>
      </c>
      <c r="D2" s="1">
        <v>44941</v>
      </c>
      <c r="E2">
        <v>25.34</v>
      </c>
      <c r="F2">
        <v>12000000</v>
      </c>
      <c r="G2" t="s">
        <v>27</v>
      </c>
      <c r="H2" t="s">
        <v>30</v>
      </c>
      <c r="I2">
        <f>IFERROR(IF(ISNUMBER(D2), D2, DATEVALUE(SUBSTITUTE(SUBSTITUTE(D2, " . ", " / "), "-", "/"))), "")</f>
        <v>44941</v>
      </c>
      <c r="J2" s="2">
        <f>IF(E2="", "", VALUE(E2))</f>
        <v>25.34</v>
      </c>
      <c r="K2">
        <f>IF(F2="", "",IF(F2&lt;0, "", F2))</f>
        <v>12000000</v>
      </c>
      <c r="L2" t="str">
        <f>IF(COUNTIF($A$2:$A2,A2) &gt;1, "DUPLICATE", IF(K2="", "MISSING AUM", IF(J2="", "MISSING NAV", "OK")))</f>
        <v>OK</v>
      </c>
    </row>
    <row r="3" spans="1:12" x14ac:dyDescent="0.2">
      <c r="A3">
        <v>1002</v>
      </c>
      <c r="B3" t="s">
        <v>9</v>
      </c>
      <c r="C3" t="s">
        <v>19</v>
      </c>
      <c r="D3" s="1">
        <v>44946</v>
      </c>
      <c r="E3">
        <v>18.12</v>
      </c>
      <c r="F3">
        <v>8500000</v>
      </c>
      <c r="G3" t="s">
        <v>27</v>
      </c>
      <c r="H3" t="s">
        <v>30</v>
      </c>
      <c r="I3">
        <f>IFERROR(IF(ISNUMBER(D3), D3, DATEVALUE(SUBSTITUTE(SUBSTITUTE(D3, " . ", " / "), "-", "/"))), "")</f>
        <v>44946</v>
      </c>
      <c r="J3" s="2">
        <f>IF(E3="", "", VALUE(E3))</f>
        <v>18.12</v>
      </c>
      <c r="K3">
        <f>IF(F3="", "",IF(F3&lt;0, "", F3))</f>
        <v>8500000</v>
      </c>
      <c r="L3" t="str">
        <f>IF(COUNTIF($A$2:$A3,A3) &gt;1, "DUPLICATE", IF(K3="", "MISSING AUM", IF(J3="", "MISSING NAV", "OK")))</f>
        <v>OK</v>
      </c>
    </row>
    <row r="4" spans="1:12" x14ac:dyDescent="0.2">
      <c r="A4">
        <v>1003</v>
      </c>
      <c r="B4" t="s">
        <v>10</v>
      </c>
      <c r="C4" t="s">
        <v>20</v>
      </c>
      <c r="D4" s="1">
        <v>44959</v>
      </c>
      <c r="F4">
        <v>5000000</v>
      </c>
      <c r="G4" t="s">
        <v>28</v>
      </c>
      <c r="H4" t="s">
        <v>30</v>
      </c>
      <c r="I4">
        <f>IFERROR(IF(ISNUMBER(D4), D4, DATEVALUE(SUBSTITUTE(SUBSTITUTE(D4, " . ", " / "), "-", "/"))), "")</f>
        <v>44959</v>
      </c>
      <c r="J4" s="2" t="str">
        <f>IF(E4="", "", VALUE(E4))</f>
        <v/>
      </c>
      <c r="K4">
        <f>IF(F4="", "",IF(F4&lt;0, "", F4))</f>
        <v>5000000</v>
      </c>
      <c r="L4" t="str">
        <f>IF(COUNTIF($A$2:$A4,A4) &gt;1, "DUPLICATE", IF(K4="", "MISSING AUM", IF(J4="", "MISSING NAV", "OK")))</f>
        <v>MISSING NAV</v>
      </c>
    </row>
    <row r="5" spans="1:12" x14ac:dyDescent="0.2">
      <c r="A5">
        <v>1004</v>
      </c>
      <c r="B5" t="s">
        <v>11</v>
      </c>
      <c r="C5" t="s">
        <v>21</v>
      </c>
      <c r="D5" s="1">
        <v>44972</v>
      </c>
      <c r="E5">
        <v>22.1</v>
      </c>
      <c r="F5">
        <v>-200000</v>
      </c>
      <c r="G5" t="s">
        <v>27</v>
      </c>
      <c r="H5" t="s">
        <v>30</v>
      </c>
      <c r="I5">
        <f>IFERROR(IF(ISNUMBER(D5), D5, DATEVALUE(SUBSTITUTE(SUBSTITUTE(D5, " . ", " / "), "-", "/"))), "")</f>
        <v>44972</v>
      </c>
      <c r="J5" s="2">
        <f>IF(E5="", "", VALUE(E5))</f>
        <v>22.1</v>
      </c>
      <c r="K5" t="str">
        <f>IF(F5="", "",IF(F5&lt;0, "", F5))</f>
        <v/>
      </c>
      <c r="L5" t="str">
        <f>IF(COUNTIF($A$2:$A5,A5) &gt;1, "DUPLICATE", IF(K5="", "MISSING AUM", IF(J5="", "MISSING NAV", "OK")))</f>
        <v>MISSING AUM</v>
      </c>
    </row>
    <row r="6" spans="1:12" x14ac:dyDescent="0.2">
      <c r="A6">
        <v>1005</v>
      </c>
      <c r="B6" t="s">
        <v>12</v>
      </c>
      <c r="C6" t="s">
        <v>18</v>
      </c>
      <c r="D6" s="1">
        <v>45000</v>
      </c>
      <c r="E6">
        <v>19.75</v>
      </c>
      <c r="F6">
        <v>3000000</v>
      </c>
      <c r="G6" t="s">
        <v>29</v>
      </c>
      <c r="H6" t="s">
        <v>31</v>
      </c>
      <c r="I6">
        <f>IFERROR(IF(ISNUMBER(D6), D6, DATEVALUE(SUBSTITUTE(SUBSTITUTE(D6, " . ", " / "), "-", "/"))), "")</f>
        <v>45000</v>
      </c>
      <c r="J6" s="2">
        <f>IF(E6="", "", VALUE(E6))</f>
        <v>19.75</v>
      </c>
      <c r="K6">
        <f>IF(F6="", "",IF(F6&lt;0, "", F6))</f>
        <v>3000000</v>
      </c>
      <c r="L6" t="str">
        <f>IF(COUNTIF($A$2:$A6,A6) &gt;1, "DUPLICATE", IF(K6="", "MISSING AUM", IF(J6="", "MISSING NAV", "OK")))</f>
        <v>OK</v>
      </c>
    </row>
    <row r="7" spans="1:12" x14ac:dyDescent="0.2">
      <c r="A7">
        <v>1006</v>
      </c>
      <c r="B7" t="s">
        <v>13</v>
      </c>
      <c r="C7" t="s">
        <v>22</v>
      </c>
      <c r="D7" s="1">
        <v>45015</v>
      </c>
      <c r="G7" t="s">
        <v>27</v>
      </c>
      <c r="H7" t="s">
        <v>30</v>
      </c>
      <c r="I7">
        <f>IFERROR(IF(ISNUMBER(D7), D7, DATEVALUE(SUBSTITUTE(SUBSTITUTE(D7, " . ", " / "), "-", "/"))), "")</f>
        <v>45015</v>
      </c>
      <c r="J7" s="2" t="str">
        <f>IF(E7="", "", VALUE(E7))</f>
        <v/>
      </c>
      <c r="K7" t="str">
        <f>IF(F7="", "",IF(F7&lt;0, "", F7))</f>
        <v/>
      </c>
      <c r="L7" t="str">
        <f>IF(COUNTIF($A$2:$A7,A7) &gt;1, "DUPLICATE", IF(K7="", "MISSING AUM", IF(J7="", "MISSING NAV", "OK")))</f>
        <v>MISSING AUM</v>
      </c>
    </row>
    <row r="8" spans="1:12" x14ac:dyDescent="0.2">
      <c r="A8">
        <v>1007</v>
      </c>
      <c r="B8" t="s">
        <v>14</v>
      </c>
      <c r="C8" t="s">
        <v>23</v>
      </c>
      <c r="D8" s="1">
        <v>45021</v>
      </c>
      <c r="E8">
        <v>30.2</v>
      </c>
      <c r="F8">
        <v>15000000</v>
      </c>
      <c r="G8" t="s">
        <v>27</v>
      </c>
      <c r="H8" t="s">
        <v>30</v>
      </c>
      <c r="I8">
        <f>IFERROR(IF(ISNUMBER(D8), D8, DATEVALUE(SUBSTITUTE(SUBSTITUTE(D8, " . ", " / "), "-", "/"))), "")</f>
        <v>45021</v>
      </c>
      <c r="J8" s="2">
        <f>IF(E8="", "", VALUE(E8))</f>
        <v>30.2</v>
      </c>
      <c r="K8">
        <f>IF(F8="", "",IF(F8&lt;0, "", F8))</f>
        <v>15000000</v>
      </c>
      <c r="L8" t="str">
        <f>IF(COUNTIF($A$2:$A8,A8) &gt;1, "DUPLICATE", IF(K8="", "MISSING AUM", IF(J8="", "MISSING NAV", "OK")))</f>
        <v>OK</v>
      </c>
    </row>
    <row r="9" spans="1:12" x14ac:dyDescent="0.2">
      <c r="A9">
        <v>1008</v>
      </c>
      <c r="B9" t="s">
        <v>15</v>
      </c>
      <c r="C9" t="s">
        <v>24</v>
      </c>
      <c r="D9" s="1">
        <v>45026</v>
      </c>
      <c r="E9">
        <v>27.1</v>
      </c>
      <c r="F9">
        <v>9000000</v>
      </c>
      <c r="G9" t="s">
        <v>28</v>
      </c>
      <c r="H9" t="s">
        <v>30</v>
      </c>
      <c r="I9">
        <f>IFERROR(IF(ISNUMBER(D9), D9, DATEVALUE(SUBSTITUTE(SUBSTITUTE(D9, " . ", " / "), "-", "/"))), "")</f>
        <v>45026</v>
      </c>
      <c r="J9" s="2">
        <f>IF(E9="", "", VALUE(E9))</f>
        <v>27.1</v>
      </c>
      <c r="K9">
        <f>IF(F9="", "",IF(F9&lt;0, "", F9))</f>
        <v>9000000</v>
      </c>
      <c r="L9" t="str">
        <f>IF(COUNTIF($A$2:$A9,A9) &gt;1, "DUPLICATE", IF(K9="", "MISSING AUM", IF(J9="", "MISSING NAV", "OK")))</f>
        <v>OK</v>
      </c>
    </row>
    <row r="10" spans="1:12" x14ac:dyDescent="0.2">
      <c r="A10">
        <v>1009</v>
      </c>
      <c r="B10" t="s">
        <v>17</v>
      </c>
      <c r="C10" t="s">
        <v>25</v>
      </c>
      <c r="D10" s="1">
        <v>45034</v>
      </c>
      <c r="F10">
        <v>4500000</v>
      </c>
      <c r="G10" t="s">
        <v>27</v>
      </c>
      <c r="H10" t="s">
        <v>30</v>
      </c>
      <c r="I10">
        <f>IFERROR(IF(ISNUMBER(D10), D10, DATEVALUE(SUBSTITUTE(SUBSTITUTE(D10, " . ", " / "), "-", "/"))), "")</f>
        <v>45034</v>
      </c>
      <c r="J10" s="2" t="str">
        <f>IF(E10="", "", VALUE(E10))</f>
        <v/>
      </c>
      <c r="K10">
        <f>IF(F10="", "",IF(F10&lt;0, "", F10))</f>
        <v>4500000</v>
      </c>
      <c r="L10" t="str">
        <f>IF(COUNTIF($A$2:$A10,A10) &gt;1, "DUPLICATE", IF(K10="", "MISSING AUM", IF(J10="", "MISSING NAV", "OK")))</f>
        <v>MISSING NAV</v>
      </c>
    </row>
    <row r="11" spans="1:12" x14ac:dyDescent="0.2">
      <c r="A11">
        <v>1010</v>
      </c>
      <c r="B11" t="s">
        <v>16</v>
      </c>
      <c r="C11" t="s">
        <v>26</v>
      </c>
      <c r="D11" s="1">
        <v>45047</v>
      </c>
      <c r="E11">
        <v>20.149999999999999</v>
      </c>
      <c r="F11">
        <v>7000000</v>
      </c>
      <c r="G11" t="s">
        <v>29</v>
      </c>
      <c r="H11" t="s">
        <v>30</v>
      </c>
      <c r="I11">
        <f>IFERROR(IF(ISNUMBER(D11), D11, DATEVALUE(SUBSTITUTE(SUBSTITUTE(D11, " . ", " / "), "-", "/"))), "")</f>
        <v>45047</v>
      </c>
      <c r="J11" s="2">
        <f>IF(E11="", "", VALUE(E11))</f>
        <v>20.149999999999999</v>
      </c>
      <c r="K11">
        <f>IF(F11="", "",IF(F11&lt;0, "", F11))</f>
        <v>7000000</v>
      </c>
      <c r="L11" t="str">
        <f>IF(COUNTIF($A$2:$A11,A11) &gt;1, "DUPLICATE", IF(K11="", "MISSING AUM", IF(J11="", "MISSING NAV", "OK")))</f>
        <v>OK</v>
      </c>
    </row>
    <row r="12" spans="1:12" x14ac:dyDescent="0.2">
      <c r="J12"/>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A197-0FA4-4A4D-AFF1-45F164B9FF65}">
  <dimension ref="A1:E8"/>
  <sheetViews>
    <sheetView showGridLines="0" showRowColHeaders="0" zoomScale="150" zoomScaleNormal="150" workbookViewId="0">
      <selection activeCell="E8" sqref="A3:E8"/>
    </sheetView>
  </sheetViews>
  <sheetFormatPr baseColWidth="10" defaultRowHeight="16" x14ac:dyDescent="0.2"/>
  <cols>
    <col min="1" max="1" width="17.83203125" bestFit="1" customWidth="1"/>
    <col min="2" max="2" width="16" bestFit="1" customWidth="1"/>
    <col min="3" max="3" width="12.33203125" bestFit="1" customWidth="1"/>
    <col min="4" max="4" width="3.6640625" bestFit="1" customWidth="1"/>
    <col min="5" max="5" width="10.5" bestFit="1" customWidth="1"/>
  </cols>
  <sheetData>
    <row r="1" spans="1:5" ht="19" x14ac:dyDescent="0.25">
      <c r="A1" s="9" t="s">
        <v>55</v>
      </c>
    </row>
    <row r="3" spans="1:5" x14ac:dyDescent="0.2">
      <c r="A3" s="7" t="s">
        <v>53</v>
      </c>
      <c r="B3" s="7" t="s">
        <v>52</v>
      </c>
    </row>
    <row r="4" spans="1:5" x14ac:dyDescent="0.2">
      <c r="A4" s="7" t="s">
        <v>47</v>
      </c>
      <c r="B4" t="s">
        <v>49</v>
      </c>
      <c r="C4" t="s">
        <v>50</v>
      </c>
      <c r="D4" t="s">
        <v>51</v>
      </c>
      <c r="E4" t="s">
        <v>48</v>
      </c>
    </row>
    <row r="5" spans="1:5" x14ac:dyDescent="0.2">
      <c r="A5" s="8" t="s">
        <v>29</v>
      </c>
      <c r="B5" s="2"/>
      <c r="C5" s="2"/>
      <c r="D5" s="2">
        <v>2</v>
      </c>
      <c r="E5" s="2">
        <v>2</v>
      </c>
    </row>
    <row r="6" spans="1:5" x14ac:dyDescent="0.2">
      <c r="A6" s="8" t="s">
        <v>28</v>
      </c>
      <c r="B6" s="2"/>
      <c r="C6" s="2">
        <v>1</v>
      </c>
      <c r="D6" s="2">
        <v>1</v>
      </c>
      <c r="E6" s="2">
        <v>2</v>
      </c>
    </row>
    <row r="7" spans="1:5" x14ac:dyDescent="0.2">
      <c r="A7" s="8" t="s">
        <v>27</v>
      </c>
      <c r="B7" s="2">
        <v>2</v>
      </c>
      <c r="C7" s="2">
        <v>1</v>
      </c>
      <c r="D7" s="2">
        <v>3</v>
      </c>
      <c r="E7" s="2">
        <v>6</v>
      </c>
    </row>
    <row r="8" spans="1:5" x14ac:dyDescent="0.2">
      <c r="A8" s="8" t="s">
        <v>48</v>
      </c>
      <c r="B8" s="2">
        <v>2</v>
      </c>
      <c r="C8" s="2">
        <v>2</v>
      </c>
      <c r="D8" s="2">
        <v>6</v>
      </c>
      <c r="E8" s="2">
        <v>10</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AD11E-F2A9-024E-A82E-B1A72FD46246}">
  <dimension ref="A1:B6"/>
  <sheetViews>
    <sheetView workbookViewId="0">
      <selection activeCell="B11" sqref="B11"/>
    </sheetView>
  </sheetViews>
  <sheetFormatPr baseColWidth="10" defaultRowHeight="16" x14ac:dyDescent="0.2"/>
  <cols>
    <col min="1" max="1" width="13" bestFit="1" customWidth="1"/>
    <col min="2" max="2" width="16.83203125" bestFit="1" customWidth="1"/>
  </cols>
  <sheetData>
    <row r="1" spans="1:2" ht="19" x14ac:dyDescent="0.25">
      <c r="A1" s="9" t="s">
        <v>56</v>
      </c>
    </row>
    <row r="3" spans="1:2" x14ac:dyDescent="0.2">
      <c r="A3" s="7" t="s">
        <v>47</v>
      </c>
      <c r="B3" t="s">
        <v>54</v>
      </c>
    </row>
    <row r="4" spans="1:2" x14ac:dyDescent="0.2">
      <c r="A4" s="8" t="s">
        <v>30</v>
      </c>
      <c r="B4" s="2">
        <v>61000000</v>
      </c>
    </row>
    <row r="5" spans="1:2" x14ac:dyDescent="0.2">
      <c r="A5" s="8" t="s">
        <v>31</v>
      </c>
      <c r="B5" s="2">
        <v>3000000</v>
      </c>
    </row>
    <row r="6" spans="1:2" x14ac:dyDescent="0.2">
      <c r="A6" s="8" t="s">
        <v>48</v>
      </c>
      <c r="B6" s="2">
        <v>64000000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D7E08-61CB-7540-909F-2FA745DB8980}">
  <dimension ref="A1:R15"/>
  <sheetViews>
    <sheetView tabSelected="1" zoomScaleNormal="100" workbookViewId="0">
      <selection activeCell="J26" sqref="J26"/>
    </sheetView>
  </sheetViews>
  <sheetFormatPr baseColWidth="10" defaultRowHeight="16" x14ac:dyDescent="0.2"/>
  <cols>
    <col min="10" max="10" width="10.83203125" customWidth="1"/>
    <col min="12" max="12" width="13.6640625" customWidth="1"/>
    <col min="13" max="13" width="13.1640625" bestFit="1" customWidth="1"/>
  </cols>
  <sheetData>
    <row r="1" spans="1:18" ht="16" customHeight="1" x14ac:dyDescent="0.2">
      <c r="A1" s="11" t="s">
        <v>57</v>
      </c>
      <c r="B1" s="11"/>
      <c r="C1" s="11"/>
      <c r="D1" s="11"/>
      <c r="E1" s="11"/>
      <c r="F1" s="11"/>
      <c r="G1" s="11"/>
      <c r="H1" s="11"/>
      <c r="I1" s="11"/>
      <c r="J1" s="11"/>
      <c r="K1" s="10"/>
      <c r="L1" s="10"/>
      <c r="M1" s="10"/>
      <c r="N1" s="10"/>
      <c r="O1" s="10"/>
      <c r="P1" s="10"/>
      <c r="Q1" s="10"/>
      <c r="R1" s="10"/>
    </row>
    <row r="2" spans="1:18" ht="16" customHeight="1" x14ac:dyDescent="0.2">
      <c r="A2" s="11"/>
      <c r="B2" s="11"/>
      <c r="C2" s="11"/>
      <c r="D2" s="11"/>
      <c r="E2" s="11"/>
      <c r="F2" s="11"/>
      <c r="G2" s="11"/>
      <c r="H2" s="11"/>
      <c r="I2" s="11"/>
      <c r="J2" s="11"/>
      <c r="K2" s="10"/>
      <c r="L2" s="10"/>
      <c r="M2" s="10"/>
      <c r="N2" s="10"/>
      <c r="O2" s="10"/>
      <c r="P2" s="10"/>
      <c r="Q2" s="10"/>
      <c r="R2" s="10"/>
    </row>
    <row r="5" spans="1:18" hidden="1" x14ac:dyDescent="0.2">
      <c r="A5" s="7" t="s">
        <v>53</v>
      </c>
      <c r="B5" s="7" t="s">
        <v>52</v>
      </c>
    </row>
    <row r="6" spans="1:18" hidden="1" x14ac:dyDescent="0.2">
      <c r="A6" s="7" t="s">
        <v>47</v>
      </c>
      <c r="B6" t="s">
        <v>49</v>
      </c>
      <c r="C6" t="s">
        <v>50</v>
      </c>
      <c r="D6" t="s">
        <v>51</v>
      </c>
      <c r="E6" t="s">
        <v>48</v>
      </c>
    </row>
    <row r="7" spans="1:18" hidden="1" x14ac:dyDescent="0.2">
      <c r="A7" s="8" t="s">
        <v>29</v>
      </c>
      <c r="B7" s="2"/>
      <c r="C7" s="2"/>
      <c r="D7" s="2">
        <v>2</v>
      </c>
      <c r="E7" s="2">
        <v>2</v>
      </c>
    </row>
    <row r="8" spans="1:18" hidden="1" x14ac:dyDescent="0.2">
      <c r="A8" s="8" t="s">
        <v>28</v>
      </c>
      <c r="B8" s="2"/>
      <c r="C8" s="2">
        <v>1</v>
      </c>
      <c r="D8" s="2">
        <v>1</v>
      </c>
      <c r="E8" s="2">
        <v>2</v>
      </c>
    </row>
    <row r="9" spans="1:18" hidden="1" x14ac:dyDescent="0.2">
      <c r="A9" s="8" t="s">
        <v>27</v>
      </c>
      <c r="B9" s="2">
        <v>2</v>
      </c>
      <c r="C9" s="2">
        <v>1</v>
      </c>
      <c r="D9" s="2">
        <v>3</v>
      </c>
      <c r="E9" s="2">
        <v>6</v>
      </c>
    </row>
    <row r="10" spans="1:18" ht="110" hidden="1" x14ac:dyDescent="0.2">
      <c r="A10" s="8" t="s">
        <v>48</v>
      </c>
      <c r="B10" s="2">
        <v>2</v>
      </c>
      <c r="C10" s="2">
        <v>2</v>
      </c>
      <c r="D10" s="2">
        <v>6</v>
      </c>
      <c r="E10" s="2">
        <v>10</v>
      </c>
    </row>
    <row r="11" spans="1:18" ht="27" x14ac:dyDescent="0.2">
      <c r="L11" s="13" t="s">
        <v>58</v>
      </c>
      <c r="M11" s="17">
        <f>COUNTA([1]clean_atp_data!A:A) -1</f>
        <v>1048575</v>
      </c>
    </row>
    <row r="12" spans="1:18" x14ac:dyDescent="0.2">
      <c r="L12" s="16" t="s">
        <v>45</v>
      </c>
      <c r="M12" s="13">
        <f>COUNTIF(clean_etp_data!L:L, "OK")</f>
        <v>6</v>
      </c>
    </row>
    <row r="13" spans="1:18" x14ac:dyDescent="0.2">
      <c r="L13" s="14" t="s">
        <v>46</v>
      </c>
      <c r="M13" s="14">
        <f>COUNTA(clean_etp_data!L:L)-COUNTIF(clean_etp_data!L:L, "OK")</f>
        <v>5</v>
      </c>
    </row>
    <row r="14" spans="1:18" x14ac:dyDescent="0.2">
      <c r="L14" s="15" t="s">
        <v>35</v>
      </c>
      <c r="M14" s="15">
        <f>COUNTIF(clean_etp_data!L:L, "MISSING AUM")</f>
        <v>2</v>
      </c>
    </row>
    <row r="15" spans="1:18" x14ac:dyDescent="0.2">
      <c r="L15" s="12" t="s">
        <v>36</v>
      </c>
      <c r="M15" s="12">
        <f>COUNTIF(clean_etp_data!L:L, "MISSING NAV")</f>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raw_etp_data</vt:lpstr>
      <vt:lpstr>data_audit</vt:lpstr>
      <vt:lpstr>clean_etp_data</vt:lpstr>
      <vt:lpstr>Issue_Distribution_By_Region</vt:lpstr>
      <vt:lpstr>AUM_By_Status</vt:lpstr>
      <vt:lpstr>ETP_Dashboard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NYASIA WILLIAMS</dc:creator>
  <cp:lastModifiedBy>NYASIA WILLIAMS</cp:lastModifiedBy>
  <dcterms:created xsi:type="dcterms:W3CDTF">2026-01-21T22:38:15Z</dcterms:created>
  <dcterms:modified xsi:type="dcterms:W3CDTF">2026-01-22T03:39:01Z</dcterms:modified>
</cp:coreProperties>
</file>